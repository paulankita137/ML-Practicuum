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1"/>
  <workbookPr defaultThemeVersion="166925"/>
  <mc:AlternateContent xmlns:mc="http://schemas.openxmlformats.org/markup-compatibility/2006">
    <mc:Choice Requires="x15">
      <x15ac:absPath xmlns:x15ac="http://schemas.microsoft.com/office/spreadsheetml/2010/11/ac" url="/Users/johnny/Downloads/2022-06-appML-grades/"/>
    </mc:Choice>
  </mc:AlternateContent>
  <xr:revisionPtr revIDLastSave="0" documentId="13_ncr:40009_{01DBD3B3-2BBF-214F-9B7C-AF642FCE0C84}" xr6:coauthVersionLast="47" xr6:coauthVersionMax="47" xr10:uidLastSave="{00000000-0000-0000-0000-000000000000}"/>
  <bookViews>
    <workbookView xWindow="101160" yWindow="-920" windowWidth="32100" windowHeight="15940" xr2:uid="{00000000-000D-0000-FFFF-FFFF00000000}"/>
  </bookViews>
  <sheets>
    <sheet name="detailedGrades"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27" i="1" l="1"/>
  <c r="AH25" i="1"/>
  <c r="AH26" i="1"/>
  <c r="AH24" i="1"/>
  <c r="AH23" i="1"/>
  <c r="AH22" i="1"/>
  <c r="AH21" i="1"/>
  <c r="AH20" i="1"/>
  <c r="AH18" i="1"/>
  <c r="AH19" i="1"/>
  <c r="AH16" i="1"/>
  <c r="AH17" i="1"/>
  <c r="AH15" i="1"/>
  <c r="AH14" i="1"/>
  <c r="AH13" i="1"/>
  <c r="AH12" i="1"/>
  <c r="AE12" i="1"/>
  <c r="T26" i="1"/>
  <c r="T25" i="1"/>
  <c r="T24" i="1"/>
  <c r="T23" i="1"/>
  <c r="T22" i="1"/>
  <c r="T21" i="1"/>
  <c r="T20" i="1"/>
  <c r="T19" i="1"/>
  <c r="T18" i="1"/>
  <c r="T17" i="1"/>
  <c r="T15" i="1"/>
  <c r="T14" i="1"/>
  <c r="T13" i="1"/>
  <c r="T12" i="1"/>
  <c r="T11" i="1"/>
  <c r="T10" i="1"/>
  <c r="T9" i="1"/>
  <c r="T7" i="1"/>
  <c r="T8" i="1"/>
  <c r="AE5" i="1"/>
  <c r="AE6" i="1"/>
  <c r="AE7" i="1"/>
  <c r="AE8" i="1"/>
  <c r="AF10" i="1" s="1"/>
  <c r="AE9" i="1"/>
  <c r="AE10" i="1"/>
  <c r="AE11" i="1"/>
  <c r="AF11" i="1" s="1"/>
  <c r="AF26" i="1"/>
  <c r="AE13" i="1"/>
  <c r="AF13" i="1" s="1"/>
  <c r="AE14" i="1"/>
  <c r="AE15" i="1"/>
  <c r="AE17" i="1"/>
  <c r="AE18" i="1"/>
  <c r="AE19" i="1"/>
  <c r="AE20" i="1"/>
  <c r="AE21" i="1"/>
  <c r="AE22" i="1"/>
  <c r="AE23" i="1"/>
  <c r="AE24" i="1"/>
  <c r="AE25" i="1"/>
  <c r="AE26" i="1"/>
  <c r="AE27" i="1"/>
  <c r="AF27" i="1" s="1"/>
  <c r="AE4" i="1"/>
  <c r="AF4" i="1" s="1"/>
  <c r="T6" i="1"/>
  <c r="T5" i="1"/>
  <c r="T4" i="1"/>
  <c r="I16" i="1"/>
  <c r="I13" i="1"/>
  <c r="J13" i="1" s="1"/>
  <c r="K13" i="1" s="1"/>
  <c r="L13" i="1" s="1"/>
  <c r="I27" i="1"/>
  <c r="J27" i="1" s="1"/>
  <c r="K27" i="1" s="1"/>
  <c r="L27" i="1" s="1"/>
  <c r="I22" i="1"/>
  <c r="J22" i="1" s="1"/>
  <c r="K22" i="1" s="1"/>
  <c r="L22" i="1" s="1"/>
  <c r="I25" i="1"/>
  <c r="J25" i="1" s="1"/>
  <c r="K25" i="1" s="1"/>
  <c r="L25" i="1" s="1"/>
  <c r="I26" i="1"/>
  <c r="J26" i="1" s="1"/>
  <c r="K26" i="1" s="1"/>
  <c r="L26" i="1" s="1"/>
  <c r="I24" i="1"/>
  <c r="J24" i="1" s="1"/>
  <c r="K24" i="1" s="1"/>
  <c r="L24" i="1" s="1"/>
  <c r="I23" i="1"/>
  <c r="I21" i="1"/>
  <c r="J21" i="1" s="1"/>
  <c r="K21" i="1" s="1"/>
  <c r="L21" i="1" s="1"/>
  <c r="I20" i="1"/>
  <c r="J20" i="1" s="1"/>
  <c r="K20" i="1" s="1"/>
  <c r="L20" i="1" s="1"/>
  <c r="I19" i="1"/>
  <c r="I17" i="1"/>
  <c r="I18" i="1"/>
  <c r="I15" i="1"/>
  <c r="I14" i="1"/>
  <c r="I12" i="1"/>
  <c r="J12" i="1" s="1"/>
  <c r="K12" i="1" s="1"/>
  <c r="L12" i="1" s="1"/>
  <c r="I11" i="1"/>
  <c r="J11" i="1" s="1"/>
  <c r="K11" i="1" s="1"/>
  <c r="L11" i="1" s="1"/>
  <c r="I10" i="1"/>
  <c r="J10" i="1" s="1"/>
  <c r="K10" i="1" s="1"/>
  <c r="L10" i="1" s="1"/>
  <c r="I9" i="1"/>
  <c r="J9" i="1" s="1"/>
  <c r="K9" i="1" s="1"/>
  <c r="L9" i="1" s="1"/>
  <c r="I8" i="1"/>
  <c r="J8" i="1" s="1"/>
  <c r="K8" i="1" s="1"/>
  <c r="L8" i="1" s="1"/>
  <c r="I7" i="1"/>
  <c r="J7" i="1" s="1"/>
  <c r="K7" i="1" s="1"/>
  <c r="L7" i="1" s="1"/>
  <c r="I6" i="1"/>
  <c r="J16" i="1" s="1"/>
  <c r="K16" i="1" s="1"/>
  <c r="L16" i="1" s="1"/>
  <c r="I5" i="1"/>
  <c r="J19" i="1" s="1"/>
  <c r="K19" i="1" s="1"/>
  <c r="L19" i="1" s="1"/>
  <c r="I4" i="1"/>
  <c r="BF3" i="1"/>
  <c r="AU3" i="1"/>
  <c r="AH3" i="1"/>
  <c r="T3" i="1"/>
  <c r="AF18" i="1" l="1"/>
  <c r="AF17" i="1"/>
  <c r="AF15" i="1"/>
  <c r="AF14" i="1"/>
  <c r="AF19" i="1"/>
  <c r="J18" i="1"/>
  <c r="K18" i="1" s="1"/>
  <c r="L18" i="1" s="1"/>
  <c r="AF25" i="1"/>
  <c r="AF9" i="1"/>
  <c r="J17" i="1"/>
  <c r="K17" i="1" s="1"/>
  <c r="L17" i="1" s="1"/>
  <c r="AF24" i="1"/>
  <c r="AF8" i="1"/>
  <c r="AF23" i="1"/>
  <c r="AF7" i="1"/>
  <c r="AF22" i="1"/>
  <c r="AF6" i="1"/>
  <c r="J14" i="1"/>
  <c r="K14" i="1" s="1"/>
  <c r="L14" i="1" s="1"/>
  <c r="AF21" i="1"/>
  <c r="AF5" i="1"/>
  <c r="AF20" i="1"/>
  <c r="J15" i="1"/>
  <c r="K15" i="1" s="1"/>
  <c r="L15" i="1" s="1"/>
  <c r="AF16" i="1"/>
  <c r="J23" i="1"/>
  <c r="K23" i="1" s="1"/>
  <c r="L23" i="1" s="1"/>
  <c r="J4" i="1"/>
  <c r="K4" i="1" s="1"/>
  <c r="L4" i="1" s="1"/>
  <c r="J6" i="1"/>
  <c r="K6" i="1" s="1"/>
  <c r="L6" i="1" s="1"/>
  <c r="J5" i="1"/>
  <c r="K5" i="1" s="1"/>
  <c r="L5" i="1" s="1"/>
  <c r="AF12" i="1"/>
  <c r="AG6" i="1" l="1"/>
  <c r="AH6" i="1" s="1"/>
  <c r="AG16" i="1"/>
  <c r="AG5" i="1"/>
  <c r="AH5" i="1" s="1"/>
  <c r="AG25" i="1"/>
  <c r="AG9" i="1"/>
  <c r="AH9" i="1" s="1"/>
  <c r="AG19" i="1"/>
  <c r="AG12" i="1"/>
  <c r="AG11" i="1"/>
  <c r="AH11" i="1" s="1"/>
  <c r="AG24" i="1"/>
  <c r="AG20" i="1"/>
  <c r="AG18" i="1"/>
  <c r="AG14" i="1"/>
  <c r="AG4" i="1"/>
  <c r="AH4" i="1" s="1"/>
  <c r="AG13" i="1"/>
  <c r="AG27" i="1"/>
  <c r="AG21" i="1"/>
  <c r="AG10" i="1"/>
  <c r="AH10" i="1" s="1"/>
  <c r="AG23" i="1"/>
  <c r="AG15" i="1"/>
  <c r="AG26" i="1"/>
  <c r="AG22" i="1"/>
  <c r="AG7" i="1"/>
  <c r="AH7" i="1" s="1"/>
  <c r="AG8" i="1"/>
  <c r="AH8" i="1" s="1"/>
  <c r="AG17" i="1"/>
</calcChain>
</file>

<file path=xl/sharedStrings.xml><?xml version="1.0" encoding="utf-8"?>
<sst xmlns="http://schemas.openxmlformats.org/spreadsheetml/2006/main" count="184" uniqueCount="153">
  <si>
    <t>Assignment 1</t>
  </si>
  <si>
    <t>assignment 2</t>
  </si>
  <si>
    <t>assignment 3</t>
  </si>
  <si>
    <t>assignment 4</t>
  </si>
  <si>
    <t>assignment 5</t>
  </si>
  <si>
    <t>compliant</t>
  </si>
  <si>
    <t>preprocess</t>
  </si>
  <si>
    <t>code runs</t>
  </si>
  <si>
    <t>rmse1</t>
  </si>
  <si>
    <t>rmse2</t>
  </si>
  <si>
    <t>best</t>
  </si>
  <si>
    <t>rank</t>
  </si>
  <si>
    <t>rank's score</t>
  </si>
  <si>
    <t>final</t>
  </si>
  <si>
    <t>notes to student</t>
  </si>
  <si>
    <t>model loaded</t>
  </si>
  <si>
    <t>model edit</t>
  </si>
  <si>
    <t>data entered</t>
  </si>
  <si>
    <t>PCA code</t>
  </si>
  <si>
    <t>PCA plot</t>
  </si>
  <si>
    <t>total</t>
  </si>
  <si>
    <t>loads model</t>
  </si>
  <si>
    <t>adds layer</t>
  </si>
  <si>
    <t>training run</t>
  </si>
  <si>
    <t>model saved</t>
  </si>
  <si>
    <t>top1acc</t>
  </si>
  <si>
    <t>top5acc</t>
  </si>
  <si>
    <t>top10acc</t>
  </si>
  <si>
    <t>accuracy sum</t>
  </si>
  <si>
    <t>score</t>
  </si>
  <si>
    <t>envPrep</t>
  </si>
  <si>
    <t>agent def</t>
  </si>
  <si>
    <t>training</t>
  </si>
  <si>
    <t>save &amp; restart</t>
  </si>
  <si>
    <t>load and play</t>
  </si>
  <si>
    <t>video enough</t>
  </si>
  <si>
    <t>play quality</t>
  </si>
  <si>
    <t>game name</t>
  </si>
  <si>
    <t>game difficulty</t>
  </si>
  <si>
    <t>game difficulty based additional score</t>
  </si>
  <si>
    <t>loads imdb</t>
  </si>
  <si>
    <t>embedding</t>
  </si>
  <si>
    <t>builds model</t>
  </si>
  <si>
    <t>model train</t>
  </si>
  <si>
    <t>run works</t>
  </si>
  <si>
    <t>accuracy</t>
  </si>
  <si>
    <t>score rank</t>
  </si>
  <si>
    <t>score points</t>
  </si>
  <si>
    <t>Username</t>
  </si>
  <si>
    <t>Last Name</t>
  </si>
  <si>
    <t>First Name</t>
  </si>
  <si>
    <t>1 to 24</t>
  </si>
  <si>
    <t>1 to 18</t>
  </si>
  <si>
    <t>aia43</t>
  </si>
  <si>
    <t>Augustin</t>
  </si>
  <si>
    <t>Alisha</t>
  </si>
  <si>
    <t xml:space="preserve">0.0011305134694670172
</t>
  </si>
  <si>
    <t>The way you loaded the data trained the model to predict the *present* hour's CAD_high based on other attributes (not including CAD_high) for the present hour, rather than following instructions and predicting the next hour's CAD_high which was provided as a y in the pickle you loaded.  Furthermore, you should have included dropping feature elements into your pipeline definition.</t>
  </si>
  <si>
    <t>you were not supposed to include the top layer (either new or old) for the PCA calculation because we were studying the concentration of the features of the lower layers (imported via transfer learning) around a lower number of dimensions.</t>
  </si>
  <si>
    <t>ap3527</t>
  </si>
  <si>
    <t>Pokharna</t>
  </si>
  <si>
    <t>Akshat</t>
  </si>
  <si>
    <t>Your class definition referred to global variables you defined -- best to include these in class definition.</t>
  </si>
  <si>
    <t>You accessed the test data, using it as a validation set on which early stopping was based, during training.  Since this was not used for anything other than early stopping, I deducted only 2 points.</t>
  </si>
  <si>
    <t>asm437</t>
  </si>
  <si>
    <t>Mohammed</t>
  </si>
  <si>
    <t>Akhil</t>
  </si>
  <si>
    <t>Second pipeline file was missing.  Used the first one.  Dropping date should have been done in pipeline.</t>
  </si>
  <si>
    <t>aw865</t>
  </si>
  <si>
    <t>Wang</t>
  </si>
  <si>
    <t>Aihua</t>
  </si>
  <si>
    <t>You included the model as part of the pipeline, and also dropped all but four features outside of the pipeline.  The feature dropping should have been included in the pipeline definition, and to be compliant with the description of the project the model should have been separated from the pipeline.</t>
  </si>
  <si>
    <t>az459</t>
  </si>
  <si>
    <t>Zhou</t>
  </si>
  <si>
    <t>Alan</t>
  </si>
  <si>
    <t>You dropped everything but the previous hour's Canadian high for the first model - this dropping process should have been included in your pipeline.  Additionally, you pickled the output of your pipeline rather than your pipeline for both models.</t>
  </si>
  <si>
    <t>why cap the dimensions at 512?</t>
  </si>
  <si>
    <t>bmh324</t>
  </si>
  <si>
    <t>Hofmockel</t>
  </si>
  <si>
    <t>Benedict</t>
  </si>
  <si>
    <t>cal352</t>
  </si>
  <si>
    <t>Lijoi</t>
  </si>
  <si>
    <t>Chris</t>
  </si>
  <si>
    <t>You dropped everything except CAD features outside the pipeline - this dropping processes should have been included in your pipeline definition.  Also, you did not use the output of your pipeline as the input to your model, rather you used the raw features.  Furthermore you separately split the features and labels.</t>
  </si>
  <si>
    <t>you didn't plot the cumulative explained variance as a fraction of number of dimensions kept.  Also, I had to re-run your code, after editing to include imports you misplaced in the preprocess definition, in order to create the plot.</t>
  </si>
  <si>
    <t>You accessed the test data, using it as a validation set on which early stopping was based, during training.  This was not allowed, so I retrained replacing where you used the test data with the validation data.  Also, you preprocess defintion was missing necessary imports.  Also your buildAndTrainFlowersModel.py assumed generatePCAplot.py had been run already in scope, and critically, lacked the necessary added layers.  It was pretty clear that the code submitted was not exactly what lead to the model that was submitted.</t>
  </si>
  <si>
    <t>cdl63</t>
  </si>
  <si>
    <t>Leo</t>
  </si>
  <si>
    <t>Cole</t>
  </si>
  <si>
    <t xml:space="preserve">You dropped everything except CAD features outside the pipeline - this dropping processes should have been included in your pipeline definition. </t>
  </si>
  <si>
    <t>you didn't plot the cumulative explained variance as a fraction of number of dimensions kept.  Also, you can't run PCA on just one batch of a small number of images because you can't estimate the full rank covariance matrix with a number of samples that is far less than the dimension of the output of the average pooling layer.</t>
  </si>
  <si>
    <t>cms668</t>
  </si>
  <si>
    <t>Strohecker</t>
  </si>
  <si>
    <t>Connor</t>
  </si>
  <si>
    <t>The class defintion you utilized for the first pipeline refers to a global variable df which also merges the ground truth and the features in an improper way which does not reflect the offset of at least 1 in their indices.</t>
  </si>
  <si>
    <t>you didn't plot the cumulative explained variance as a fraction of number of dimensions kept.</t>
  </si>
  <si>
    <t>dm3386</t>
  </si>
  <si>
    <t>Malkani</t>
  </si>
  <si>
    <t>Divij</t>
  </si>
  <si>
    <t>ewb38</t>
  </si>
  <si>
    <t>Byrnes</t>
  </si>
  <si>
    <t>Evan</t>
  </si>
  <si>
    <t>Saved the output of your preprocessing pipeline rather than the pipeline itself.  Also, did not train based on the output of the pipeline, but rather the original raw data.  Also, dropped all but the CAD features outside of the pipeline - this dropping should have been included in your pipeline</t>
  </si>
  <si>
    <t>jfk82</t>
  </si>
  <si>
    <t>Klohoker</t>
  </si>
  <si>
    <t>John</t>
  </si>
  <si>
    <t>For second model, you dropped the date and all but a few features outside the pipeline - this should have been included in your pipeline definition.</t>
  </si>
  <si>
    <t>jkk78</t>
  </si>
  <si>
    <t>Kidwell</t>
  </si>
  <si>
    <t>Jake</t>
  </si>
  <si>
    <t>jml589</t>
  </si>
  <si>
    <t>Longstreet</t>
  </si>
  <si>
    <t>Jacob</t>
  </si>
  <si>
    <t>jsy36</t>
  </si>
  <si>
    <t>Yu</t>
  </si>
  <si>
    <t>Jonathan</t>
  </si>
  <si>
    <t>the png you submitted did not open, but I recreated with your code, which I also checked, and it was fine, except you were not plotting the cumulative explained varainces as a frcation of number of dimensions kept.</t>
  </si>
  <si>
    <t>las564</t>
  </si>
  <si>
    <t>Saunders</t>
  </si>
  <si>
    <t>Lev</t>
  </si>
  <si>
    <t>Dropped all but CAD features outside of pipeline - this should have been incorporated into your pipeline.  Also, fit_transformed on both test and train, which threw off your model accuracy</t>
  </si>
  <si>
    <t>mjm682</t>
  </si>
  <si>
    <t>Martin</t>
  </si>
  <si>
    <t>Michael</t>
  </si>
  <si>
    <t xml:space="preserve">Your pipeline definition only implements a fit_transform method which would involve refitting the pipeline separately from training to testing.  You are not allowed to fit on the held out testing data that I evaluate your model based on (as your code does).  Dataset splitting into train and test is not done within the pipeline definition.  </t>
  </si>
  <si>
    <t>np656</t>
  </si>
  <si>
    <t>Phan</t>
  </si>
  <si>
    <t>Nom</t>
  </si>
  <si>
    <t>You used the present hour's canadian high as the the quantity you would estimate, rather than the element y included in the training data which was the next hour's canadian high.  Also, you dropped most columns of the feature vector outside of your preprocessing pipeline - this should have been done as a part of the pipeline.</t>
  </si>
  <si>
    <t>you swapped training and testing when you loaded the data.  This gave you inaccurate accuracies.  I reran your code correcting this because you aren't allowed to use the test set to train.</t>
  </si>
  <si>
    <t>rhs58</t>
  </si>
  <si>
    <t>Scales</t>
  </si>
  <si>
    <t>Robert</t>
  </si>
  <si>
    <t>you were not supposed to include the top layer (either new or old) for the PCA calculation because we were studying the concentration of the features of the lower layers (imported via transfer learning) around a lower number of dimensions. Also, you can't run PCA on just one batch of a small number of images because you can't estimate the full rank covariance matrix with a number of samples that is far less than the dimension of the output of the average pooling layer.</t>
  </si>
  <si>
    <t>saf339</t>
  </si>
  <si>
    <t>Fan</t>
  </si>
  <si>
    <t>Spencer</t>
  </si>
  <si>
    <t>You cut and pasted code in from the notebook, but were unable to identify the cumulative explained variance ratio plot that you needed to mimic, and also were unable to edit the model to produce the output we wished to perform PCA on.</t>
  </si>
  <si>
    <t>You accessed the test data, using it as a validation set on which early stopping was based, during training.  This was not allowed.  There are additional problems with the code as the accuracies are all very low.</t>
  </si>
  <si>
    <t>sg3544</t>
  </si>
  <si>
    <t>Gu</t>
  </si>
  <si>
    <t>Willie</t>
  </si>
  <si>
    <t>sra82</t>
  </si>
  <si>
    <t>Anderson</t>
  </si>
  <si>
    <t>Sal</t>
  </si>
  <si>
    <t>tpc72</t>
  </si>
  <si>
    <t>Carey</t>
  </si>
  <si>
    <t>Timothy</t>
  </si>
  <si>
    <t>you were not supposed to include the top layer (either new or old) for the PCA calculation because we were studying the concentration of the features of the lower layers (imported via transfer learning) around a lower number of dimensions.  Also, the point of the cumulative explained variance ratio plot is to study the effect as the number of dimensions grows, so identifying the number of dimensions of 2 was wrong, and you should have seen that the plot did not make sense.</t>
  </si>
  <si>
    <t>wj77</t>
  </si>
  <si>
    <t>Jeon</t>
  </si>
  <si>
    <t>Wookun</t>
  </si>
  <si>
    <t>you pickled the output of the pipeline, not the pipeline itself.  Also you pickled the output of your model, not the model itself.  Additionally, you trained on the present hours CAD-high rather than the supplied y which was already the next hour's CAD-high.  Your pipeline definition did not include droppping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</si>
</sst>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00000000"/>
  </numFmts>
  <fonts count="2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1"/>
      <color rgb="FF000000"/>
      <name val="Menlo"/>
      <family val="2"/>
    </font>
    <font>
      <b/>
      <sz val="11"/>
      <color rgb="FF000000"/>
      <name val="Menlo"/>
      <family val="2"/>
    </font>
    <font>
      <strike/>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Alignment="1">
      <alignment horizontal="center"/>
    </xf>
    <xf numFmtId="0" fontId="0" fillId="0" borderId="0" xfId="0" applyAlignment="1">
      <alignment horizontal="center" vertical="center"/>
    </xf>
    <xf numFmtId="164" fontId="0" fillId="0" borderId="0" xfId="0" applyNumberFormat="1" applyAlignment="1">
      <alignment horizontal="center" vertical="center"/>
    </xf>
    <xf numFmtId="11" fontId="0" fillId="0" borderId="0" xfId="0" applyNumberFormat="1" applyAlignment="1">
      <alignment horizontal="center" vertical="center"/>
    </xf>
    <xf numFmtId="0" fontId="18" fillId="0" borderId="0" xfId="0" applyFont="1"/>
    <xf numFmtId="165" fontId="0" fillId="0" borderId="0" xfId="0" applyNumberFormat="1" applyAlignment="1">
      <alignment horizontal="center" vertical="center"/>
    </xf>
    <xf numFmtId="165" fontId="18" fillId="0" borderId="0" xfId="0" applyNumberFormat="1" applyFont="1"/>
    <xf numFmtId="165" fontId="0" fillId="0" borderId="0" xfId="0" applyNumberFormat="1"/>
    <xf numFmtId="165" fontId="0" fillId="0" borderId="0" xfId="0" applyNumberFormat="1" applyAlignment="1">
      <alignment wrapText="1"/>
    </xf>
    <xf numFmtId="0" fontId="16" fillId="0" borderId="0" xfId="0" applyFont="1"/>
    <xf numFmtId="0" fontId="19" fillId="0" borderId="0" xfId="0" applyFont="1"/>
    <xf numFmtId="0" fontId="20" fillId="0" borderId="0" xfId="0" applyFont="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27"/>
  <sheetViews>
    <sheetView tabSelected="1" workbookViewId="0">
      <pane xSplit="1" topLeftCell="G5" activePane="topRight" state="frozen"/>
      <selection pane="topRight" activeCell="M13" sqref="M13"/>
    </sheetView>
  </sheetViews>
  <sheetFormatPr defaultColWidth="11" defaultRowHeight="15.95"/>
  <cols>
    <col min="4" max="6" width="11" style="2" customWidth="1"/>
    <col min="7" max="8" width="22.625" style="6" bestFit="1" customWidth="1"/>
    <col min="9" max="12" width="11" style="2" customWidth="1"/>
  </cols>
  <sheetData>
    <row r="1" spans="1:59">
      <c r="D1" s="13" t="s">
        <v>0</v>
      </c>
      <c r="E1" s="13"/>
      <c r="F1" s="13"/>
      <c r="G1" s="13"/>
      <c r="H1" s="13"/>
      <c r="I1" s="13"/>
      <c r="J1" s="13"/>
      <c r="K1" s="13"/>
      <c r="L1" s="13"/>
      <c r="M1" s="13"/>
      <c r="N1" s="13" t="s">
        <v>1</v>
      </c>
      <c r="O1" s="13"/>
      <c r="P1" s="13"/>
      <c r="Q1" s="13"/>
      <c r="R1" s="13"/>
      <c r="S1" s="13"/>
      <c r="T1" s="13"/>
      <c r="U1" s="13"/>
      <c r="V1" s="13" t="s">
        <v>2</v>
      </c>
      <c r="W1" s="13"/>
      <c r="X1" s="13"/>
      <c r="Y1" s="13"/>
      <c r="Z1" s="13"/>
      <c r="AA1" s="13"/>
      <c r="AB1" s="13"/>
      <c r="AC1" s="13"/>
      <c r="AD1" s="13"/>
      <c r="AE1" s="13"/>
      <c r="AF1" s="13"/>
      <c r="AG1" s="13"/>
      <c r="AH1" s="13"/>
      <c r="AI1" s="13"/>
      <c r="AJ1" s="13" t="s">
        <v>3</v>
      </c>
      <c r="AK1" s="13"/>
      <c r="AL1" s="13"/>
      <c r="AM1" s="13"/>
      <c r="AN1" s="13"/>
      <c r="AO1" s="13"/>
      <c r="AP1" s="13"/>
      <c r="AQ1" s="13"/>
      <c r="AR1" s="13"/>
      <c r="AS1" s="13"/>
      <c r="AT1" s="13"/>
      <c r="AU1" s="13"/>
      <c r="AV1" s="13"/>
      <c r="AW1" s="13" t="s">
        <v>4</v>
      </c>
      <c r="AX1" s="13"/>
      <c r="AY1" s="13"/>
      <c r="AZ1" s="13"/>
      <c r="BA1" s="13"/>
      <c r="BB1" s="13"/>
      <c r="BC1" s="13"/>
      <c r="BD1" s="13"/>
      <c r="BE1" s="13"/>
      <c r="BF1" s="13"/>
    </row>
    <row r="2" spans="1:59">
      <c r="D2" s="2" t="s">
        <v>5</v>
      </c>
      <c r="E2" s="2" t="s">
        <v>6</v>
      </c>
      <c r="F2" s="2" t="s">
        <v>7</v>
      </c>
      <c r="G2" s="6" t="s">
        <v>8</v>
      </c>
      <c r="H2" s="6" t="s">
        <v>9</v>
      </c>
      <c r="I2" s="3" t="s">
        <v>10</v>
      </c>
      <c r="J2" s="2" t="s">
        <v>11</v>
      </c>
      <c r="K2" s="2" t="s">
        <v>12</v>
      </c>
      <c r="L2" s="2" t="s">
        <v>13</v>
      </c>
      <c r="M2" t="s">
        <v>14</v>
      </c>
      <c r="N2" t="s">
        <v>5</v>
      </c>
      <c r="O2" t="s">
        <v>15</v>
      </c>
      <c r="P2" t="s">
        <v>16</v>
      </c>
      <c r="Q2" t="s">
        <v>17</v>
      </c>
      <c r="R2" t="s">
        <v>18</v>
      </c>
      <c r="S2" t="s">
        <v>19</v>
      </c>
      <c r="T2" t="s">
        <v>20</v>
      </c>
      <c r="U2" s="1" t="s">
        <v>14</v>
      </c>
      <c r="V2" t="s">
        <v>5</v>
      </c>
      <c r="W2" t="s">
        <v>6</v>
      </c>
      <c r="X2" t="s">
        <v>21</v>
      </c>
      <c r="Y2" t="s">
        <v>22</v>
      </c>
      <c r="Z2" t="s">
        <v>23</v>
      </c>
      <c r="AA2" t="s">
        <v>24</v>
      </c>
      <c r="AB2" t="s">
        <v>25</v>
      </c>
      <c r="AC2" t="s">
        <v>26</v>
      </c>
      <c r="AD2" t="s">
        <v>27</v>
      </c>
      <c r="AE2" t="s">
        <v>28</v>
      </c>
      <c r="AF2" t="s">
        <v>11</v>
      </c>
      <c r="AG2" t="s">
        <v>29</v>
      </c>
      <c r="AH2" t="s">
        <v>20</v>
      </c>
      <c r="AI2" t="s">
        <v>14</v>
      </c>
      <c r="AJ2" t="s">
        <v>5</v>
      </c>
      <c r="AK2" t="s">
        <v>30</v>
      </c>
      <c r="AL2" t="s">
        <v>31</v>
      </c>
      <c r="AM2" t="s">
        <v>32</v>
      </c>
      <c r="AN2" t="s">
        <v>33</v>
      </c>
      <c r="AO2" t="s">
        <v>34</v>
      </c>
      <c r="AP2" t="s">
        <v>35</v>
      </c>
      <c r="AQ2" t="s">
        <v>36</v>
      </c>
      <c r="AR2" t="s">
        <v>37</v>
      </c>
      <c r="AS2" t="s">
        <v>38</v>
      </c>
      <c r="AT2" t="s">
        <v>39</v>
      </c>
      <c r="AU2" t="s">
        <v>20</v>
      </c>
      <c r="AV2" t="s">
        <v>14</v>
      </c>
      <c r="AW2" t="s">
        <v>40</v>
      </c>
      <c r="AX2" t="s">
        <v>41</v>
      </c>
      <c r="AY2" t="s">
        <v>42</v>
      </c>
      <c r="AZ2" t="s">
        <v>43</v>
      </c>
      <c r="BA2" t="s">
        <v>24</v>
      </c>
      <c r="BB2" t="s">
        <v>44</v>
      </c>
      <c r="BC2" t="s">
        <v>45</v>
      </c>
      <c r="BD2" t="s">
        <v>46</v>
      </c>
      <c r="BE2" t="s">
        <v>47</v>
      </c>
      <c r="BF2" t="s">
        <v>20</v>
      </c>
      <c r="BG2" t="s">
        <v>14</v>
      </c>
    </row>
    <row r="3" spans="1:59">
      <c r="A3" t="s">
        <v>48</v>
      </c>
      <c r="B3" t="s">
        <v>49</v>
      </c>
      <c r="C3" t="s">
        <v>50</v>
      </c>
      <c r="D3" s="2">
        <v>10</v>
      </c>
      <c r="E3" s="2">
        <v>10</v>
      </c>
      <c r="F3" s="2">
        <v>20</v>
      </c>
      <c r="I3" s="3"/>
      <c r="J3" s="2" t="s">
        <v>51</v>
      </c>
      <c r="K3" s="2">
        <v>60</v>
      </c>
      <c r="L3" s="2">
        <v>0</v>
      </c>
      <c r="N3">
        <v>15</v>
      </c>
      <c r="O3">
        <v>15</v>
      </c>
      <c r="P3">
        <v>15</v>
      </c>
      <c r="Q3">
        <v>20</v>
      </c>
      <c r="R3">
        <v>15</v>
      </c>
      <c r="S3">
        <v>20</v>
      </c>
      <c r="T3">
        <f t="shared" ref="T3:T5" si="0">SUM(N3:S3)</f>
        <v>100</v>
      </c>
      <c r="V3">
        <v>10</v>
      </c>
      <c r="W3">
        <v>10</v>
      </c>
      <c r="X3">
        <v>10</v>
      </c>
      <c r="Y3">
        <v>10</v>
      </c>
      <c r="Z3">
        <v>20</v>
      </c>
      <c r="AA3">
        <v>10</v>
      </c>
      <c r="AF3" t="s">
        <v>51</v>
      </c>
      <c r="AG3">
        <v>30</v>
      </c>
      <c r="AH3">
        <f>SUM(V3:AG3)</f>
        <v>100</v>
      </c>
      <c r="AJ3">
        <v>10</v>
      </c>
      <c r="AK3">
        <v>10</v>
      </c>
      <c r="AL3">
        <v>10</v>
      </c>
      <c r="AM3">
        <v>10</v>
      </c>
      <c r="AN3">
        <v>10</v>
      </c>
      <c r="AO3">
        <v>10</v>
      </c>
      <c r="AP3">
        <v>10</v>
      </c>
      <c r="AQ3">
        <v>15</v>
      </c>
      <c r="AT3">
        <v>15</v>
      </c>
      <c r="AU3">
        <f t="shared" ref="AU3" si="1">SUM(AJ3:AQ3)+AT3</f>
        <v>100</v>
      </c>
      <c r="AW3">
        <v>10</v>
      </c>
      <c r="AX3">
        <v>10</v>
      </c>
      <c r="AY3">
        <v>15</v>
      </c>
      <c r="AZ3">
        <v>20</v>
      </c>
      <c r="BA3">
        <v>10</v>
      </c>
      <c r="BB3">
        <v>15</v>
      </c>
      <c r="BD3" t="s">
        <v>52</v>
      </c>
      <c r="BE3">
        <v>20</v>
      </c>
      <c r="BF3">
        <f>SUM(AW3:BB3)+BE3</f>
        <v>100</v>
      </c>
    </row>
    <row r="4" spans="1:59">
      <c r="A4" t="s">
        <v>53</v>
      </c>
      <c r="B4" t="s">
        <v>54</v>
      </c>
      <c r="C4" t="s">
        <v>55</v>
      </c>
      <c r="D4" s="2">
        <v>10</v>
      </c>
      <c r="E4" s="2">
        <v>8</v>
      </c>
      <c r="F4" s="2">
        <v>20</v>
      </c>
      <c r="G4" s="7">
        <v>1.03569405291828E-3</v>
      </c>
      <c r="H4" s="8" t="s">
        <v>56</v>
      </c>
      <c r="I4" s="4">
        <f>MIN(G4,H4)</f>
        <v>1.03569405291828E-3</v>
      </c>
      <c r="J4" s="2">
        <f>RANK(I4,I$4:I$27,1)</f>
        <v>16</v>
      </c>
      <c r="K4" s="2">
        <f>ROUND(IF(J4=24,0,60-J4),0)</f>
        <v>44</v>
      </c>
      <c r="L4" s="2">
        <f>D4+E4+F4+K4</f>
        <v>82</v>
      </c>
      <c r="M4" t="s">
        <v>57</v>
      </c>
      <c r="N4">
        <v>15</v>
      </c>
      <c r="O4">
        <v>15</v>
      </c>
      <c r="P4">
        <v>10</v>
      </c>
      <c r="Q4">
        <v>20</v>
      </c>
      <c r="R4">
        <v>15</v>
      </c>
      <c r="S4">
        <v>10</v>
      </c>
      <c r="T4">
        <f t="shared" si="0"/>
        <v>85</v>
      </c>
      <c r="U4" t="s">
        <v>58</v>
      </c>
      <c r="V4">
        <v>10</v>
      </c>
      <c r="W4">
        <v>10</v>
      </c>
      <c r="X4">
        <v>10</v>
      </c>
      <c r="Y4">
        <v>10</v>
      </c>
      <c r="Z4">
        <v>20</v>
      </c>
      <c r="AA4">
        <v>10</v>
      </c>
      <c r="AB4" s="5">
        <v>0.84883330000000001</v>
      </c>
      <c r="AC4" s="5">
        <v>0.95450000000000002</v>
      </c>
      <c r="AD4" s="5">
        <v>0.97616667000000001</v>
      </c>
      <c r="AE4">
        <f>AB4+AC4+AD4</f>
        <v>2.7794999699999998</v>
      </c>
      <c r="AF4">
        <f>RANK(AE4,AE$4:AE$27)</f>
        <v>10</v>
      </c>
      <c r="AG4">
        <f t="shared" ref="AG4:AG27" si="2">ROUND(IF(AF4=24,0,MAX(5,10+20*(AE4-INDEX(AE$4:AE$27,MATCH(22,AF$4:AF$27,0)))/(INDEX(AE$4:AE$27,MATCH(1,AF$4:AF$27,0))-INDEX(AE$4:AE$24,MATCH(22,AF$4:AF$27,0))))),0)</f>
        <v>22</v>
      </c>
      <c r="AH4">
        <f>SUM(V4:AA4)+AG4</f>
        <v>92</v>
      </c>
      <c r="AW4">
        <v>10</v>
      </c>
      <c r="AX4">
        <v>10</v>
      </c>
      <c r="AY4">
        <v>15</v>
      </c>
      <c r="AZ4">
        <v>20</v>
      </c>
      <c r="BA4">
        <v>8</v>
      </c>
    </row>
    <row r="5" spans="1:59">
      <c r="A5" t="s">
        <v>59</v>
      </c>
      <c r="B5" t="s">
        <v>60</v>
      </c>
      <c r="C5" t="s">
        <v>61</v>
      </c>
      <c r="D5" s="2">
        <v>9</v>
      </c>
      <c r="E5" s="2">
        <v>9</v>
      </c>
      <c r="F5" s="2">
        <v>20</v>
      </c>
      <c r="G5" s="7">
        <v>1.0695483590572399E-3</v>
      </c>
      <c r="H5" s="7">
        <v>1.8609122499147401E-3</v>
      </c>
      <c r="I5" s="4">
        <f>MIN(G5,H5)</f>
        <v>1.0695483590572399E-3</v>
      </c>
      <c r="J5" s="2">
        <f t="shared" ref="J5:J27" si="3">RANK(I5,I$4:I$27,1)</f>
        <v>20</v>
      </c>
      <c r="K5" s="2">
        <f t="shared" ref="K5:K27" si="4">ROUND(IF(J5=24,0,60-J5),0)</f>
        <v>40</v>
      </c>
      <c r="L5" s="2">
        <f t="shared" ref="L5:L27" si="5">D5+E5+F5+K5</f>
        <v>78</v>
      </c>
      <c r="M5" t="s">
        <v>62</v>
      </c>
      <c r="N5">
        <v>15</v>
      </c>
      <c r="O5">
        <v>15</v>
      </c>
      <c r="P5">
        <v>15</v>
      </c>
      <c r="Q5">
        <v>20</v>
      </c>
      <c r="R5">
        <v>15</v>
      </c>
      <c r="S5">
        <v>20</v>
      </c>
      <c r="T5">
        <f t="shared" si="0"/>
        <v>100</v>
      </c>
      <c r="V5">
        <v>10</v>
      </c>
      <c r="W5">
        <v>10</v>
      </c>
      <c r="X5">
        <v>10</v>
      </c>
      <c r="Y5">
        <v>10</v>
      </c>
      <c r="Z5">
        <v>18</v>
      </c>
      <c r="AA5">
        <v>10</v>
      </c>
      <c r="AB5" s="5">
        <v>0.92533330000000003</v>
      </c>
      <c r="AC5" s="5">
        <v>0.98566670000000001</v>
      </c>
      <c r="AD5" s="5">
        <v>0.99383336</v>
      </c>
      <c r="AE5">
        <f t="shared" ref="AE5:AE27" si="6">AB5+AC5+AD5</f>
        <v>2.90483336</v>
      </c>
      <c r="AF5">
        <f t="shared" ref="AF5:AF27" si="7">RANK(AE5,AE$4:AE$27)</f>
        <v>1</v>
      </c>
      <c r="AG5">
        <f t="shared" si="2"/>
        <v>30</v>
      </c>
      <c r="AH5">
        <f t="shared" ref="AH5:AH27" si="8">SUM(V5:AA5)+AG5</f>
        <v>98</v>
      </c>
      <c r="AI5" t="s">
        <v>63</v>
      </c>
    </row>
    <row r="6" spans="1:59">
      <c r="A6" t="s">
        <v>64</v>
      </c>
      <c r="B6" t="s">
        <v>65</v>
      </c>
      <c r="C6" t="s">
        <v>66</v>
      </c>
      <c r="D6" s="2">
        <v>8</v>
      </c>
      <c r="E6" s="2">
        <v>8</v>
      </c>
      <c r="F6" s="2">
        <v>20</v>
      </c>
      <c r="G6" s="9">
        <v>8.5073725300739895E-4</v>
      </c>
      <c r="H6" s="7">
        <v>1.2245898945246799E-3</v>
      </c>
      <c r="I6" s="4">
        <f>MIN(G6,H6)</f>
        <v>8.5073725300739895E-4</v>
      </c>
      <c r="J6" s="2">
        <f t="shared" si="3"/>
        <v>2</v>
      </c>
      <c r="K6" s="2">
        <f t="shared" si="4"/>
        <v>58</v>
      </c>
      <c r="L6" s="2">
        <f t="shared" si="5"/>
        <v>94</v>
      </c>
      <c r="M6" t="s">
        <v>67</v>
      </c>
      <c r="N6">
        <v>15</v>
      </c>
      <c r="O6">
        <v>15</v>
      </c>
      <c r="P6">
        <v>10</v>
      </c>
      <c r="Q6">
        <v>20</v>
      </c>
      <c r="R6">
        <v>15</v>
      </c>
      <c r="S6">
        <v>10</v>
      </c>
      <c r="T6">
        <f t="shared" ref="T6:T7" si="9">SUM(N6:S6)</f>
        <v>85</v>
      </c>
      <c r="U6" t="s">
        <v>58</v>
      </c>
      <c r="V6">
        <v>10</v>
      </c>
      <c r="W6">
        <v>10</v>
      </c>
      <c r="X6">
        <v>10</v>
      </c>
      <c r="Y6">
        <v>10</v>
      </c>
      <c r="Z6">
        <v>18</v>
      </c>
      <c r="AA6">
        <v>10</v>
      </c>
      <c r="AB6" s="5">
        <v>0.88583330000000005</v>
      </c>
      <c r="AC6" s="5">
        <v>0.97566664000000003</v>
      </c>
      <c r="AD6" s="5">
        <v>0.98816669999999995</v>
      </c>
      <c r="AE6">
        <f t="shared" si="6"/>
        <v>2.8496666400000001</v>
      </c>
      <c r="AF6">
        <f t="shared" si="7"/>
        <v>6</v>
      </c>
      <c r="AG6">
        <f t="shared" si="2"/>
        <v>27</v>
      </c>
      <c r="AH6">
        <f t="shared" si="8"/>
        <v>95</v>
      </c>
      <c r="AI6" t="s">
        <v>63</v>
      </c>
    </row>
    <row r="7" spans="1:59">
      <c r="A7" t="s">
        <v>68</v>
      </c>
      <c r="B7" t="s">
        <v>69</v>
      </c>
      <c r="C7" t="s">
        <v>70</v>
      </c>
      <c r="D7" s="2">
        <v>7</v>
      </c>
      <c r="E7" s="2">
        <v>8</v>
      </c>
      <c r="F7" s="2">
        <v>20</v>
      </c>
      <c r="G7" s="7">
        <v>9.2280273022704595E-4</v>
      </c>
      <c r="H7" s="7">
        <v>5.2238244514890703E-2</v>
      </c>
      <c r="I7" s="4">
        <f>MIN(G7,H7)</f>
        <v>9.2280273022704595E-4</v>
      </c>
      <c r="J7" s="2">
        <f t="shared" si="3"/>
        <v>11</v>
      </c>
      <c r="K7" s="2">
        <f t="shared" si="4"/>
        <v>49</v>
      </c>
      <c r="L7" s="2">
        <f t="shared" si="5"/>
        <v>84</v>
      </c>
      <c r="M7" t="s">
        <v>71</v>
      </c>
      <c r="N7">
        <v>15</v>
      </c>
      <c r="O7">
        <v>15</v>
      </c>
      <c r="P7">
        <v>15</v>
      </c>
      <c r="Q7">
        <v>20</v>
      </c>
      <c r="R7">
        <v>15</v>
      </c>
      <c r="S7">
        <v>20</v>
      </c>
      <c r="T7">
        <f t="shared" si="9"/>
        <v>100</v>
      </c>
      <c r="V7">
        <v>10</v>
      </c>
      <c r="W7">
        <v>10</v>
      </c>
      <c r="X7">
        <v>10</v>
      </c>
      <c r="Y7">
        <v>10</v>
      </c>
      <c r="Z7">
        <v>20</v>
      </c>
      <c r="AA7">
        <v>10</v>
      </c>
      <c r="AB7" s="5">
        <v>0.73433333999999995</v>
      </c>
      <c r="AC7" s="5">
        <v>0.90283334000000004</v>
      </c>
      <c r="AD7" s="5">
        <v>0.94766665000000005</v>
      </c>
      <c r="AE7">
        <f t="shared" si="6"/>
        <v>2.5848333299999999</v>
      </c>
      <c r="AF7">
        <f t="shared" si="7"/>
        <v>22</v>
      </c>
      <c r="AG7">
        <f t="shared" si="2"/>
        <v>10</v>
      </c>
      <c r="AH7">
        <f t="shared" si="8"/>
        <v>80</v>
      </c>
    </row>
    <row r="8" spans="1:59">
      <c r="A8" t="s">
        <v>72</v>
      </c>
      <c r="B8" t="s">
        <v>73</v>
      </c>
      <c r="C8" t="s">
        <v>74</v>
      </c>
      <c r="D8" s="2">
        <v>7</v>
      </c>
      <c r="E8" s="2">
        <v>8</v>
      </c>
      <c r="F8" s="2">
        <v>20</v>
      </c>
      <c r="G8" s="7">
        <v>1.8226995054533499E-2</v>
      </c>
      <c r="H8" s="7">
        <v>5.4029902795946098E-2</v>
      </c>
      <c r="I8" s="4">
        <f>MIN(G8,H8)</f>
        <v>1.8226995054533499E-2</v>
      </c>
      <c r="J8" s="2">
        <f t="shared" si="3"/>
        <v>23</v>
      </c>
      <c r="K8" s="2">
        <f t="shared" si="4"/>
        <v>37</v>
      </c>
      <c r="L8" s="2">
        <f t="shared" si="5"/>
        <v>72</v>
      </c>
      <c r="M8" t="s">
        <v>75</v>
      </c>
      <c r="N8">
        <v>15</v>
      </c>
      <c r="O8">
        <v>15</v>
      </c>
      <c r="P8">
        <v>15</v>
      </c>
      <c r="Q8">
        <v>20</v>
      </c>
      <c r="R8">
        <v>15</v>
      </c>
      <c r="S8">
        <v>19</v>
      </c>
      <c r="T8">
        <f>SUM(N8:S8)</f>
        <v>99</v>
      </c>
      <c r="U8" t="s">
        <v>76</v>
      </c>
      <c r="V8">
        <v>10</v>
      </c>
      <c r="W8">
        <v>10</v>
      </c>
      <c r="X8">
        <v>10</v>
      </c>
      <c r="Y8">
        <v>10</v>
      </c>
      <c r="Z8">
        <v>18</v>
      </c>
      <c r="AA8">
        <v>10</v>
      </c>
      <c r="AB8" s="11">
        <v>0.82466669999999997</v>
      </c>
      <c r="AC8" s="11">
        <v>0.95116670000000003</v>
      </c>
      <c r="AD8" s="11">
        <v>0.97783332999999995</v>
      </c>
      <c r="AE8">
        <f t="shared" si="6"/>
        <v>2.75366673</v>
      </c>
      <c r="AF8">
        <f t="shared" si="7"/>
        <v>18</v>
      </c>
      <c r="AG8">
        <f t="shared" si="2"/>
        <v>21</v>
      </c>
      <c r="AH8">
        <f t="shared" si="8"/>
        <v>89</v>
      </c>
      <c r="AI8" t="s">
        <v>63</v>
      </c>
    </row>
    <row r="9" spans="1:59">
      <c r="A9" t="s">
        <v>77</v>
      </c>
      <c r="B9" t="s">
        <v>78</v>
      </c>
      <c r="C9" t="s">
        <v>79</v>
      </c>
      <c r="D9" s="2">
        <v>10</v>
      </c>
      <c r="E9" s="2">
        <v>10</v>
      </c>
      <c r="F9" s="2">
        <v>20</v>
      </c>
      <c r="G9" s="8">
        <v>8.5298067367200396E-4</v>
      </c>
      <c r="H9" s="8">
        <v>1.2286238623749901E-3</v>
      </c>
      <c r="I9" s="4">
        <f>MIN(G9,H9)</f>
        <v>8.5298067367200396E-4</v>
      </c>
      <c r="J9" s="2">
        <f t="shared" si="3"/>
        <v>6</v>
      </c>
      <c r="K9" s="2">
        <f t="shared" si="4"/>
        <v>54</v>
      </c>
      <c r="L9" s="2">
        <f t="shared" si="5"/>
        <v>94</v>
      </c>
      <c r="N9">
        <v>15</v>
      </c>
      <c r="O9">
        <v>15</v>
      </c>
      <c r="P9">
        <v>10</v>
      </c>
      <c r="Q9">
        <v>20</v>
      </c>
      <c r="R9">
        <v>15</v>
      </c>
      <c r="S9">
        <v>10</v>
      </c>
      <c r="T9">
        <f t="shared" ref="T9:T11" si="10">SUM(N9:S9)</f>
        <v>85</v>
      </c>
      <c r="U9" t="s">
        <v>58</v>
      </c>
      <c r="V9">
        <v>10</v>
      </c>
      <c r="W9">
        <v>10</v>
      </c>
      <c r="X9">
        <v>10</v>
      </c>
      <c r="Y9">
        <v>10</v>
      </c>
      <c r="Z9">
        <v>20</v>
      </c>
      <c r="AA9">
        <v>10</v>
      </c>
      <c r="AB9" s="5">
        <v>0.84433334999999998</v>
      </c>
      <c r="AC9" s="5">
        <v>0.95399999999999996</v>
      </c>
      <c r="AD9" s="5">
        <v>0.97799999999999998</v>
      </c>
      <c r="AE9">
        <f t="shared" si="6"/>
        <v>2.7763333499999998</v>
      </c>
      <c r="AF9">
        <f t="shared" si="7"/>
        <v>11</v>
      </c>
      <c r="AG9">
        <f t="shared" si="2"/>
        <v>22</v>
      </c>
      <c r="AH9">
        <f t="shared" si="8"/>
        <v>92</v>
      </c>
    </row>
    <row r="10" spans="1:59">
      <c r="A10" t="s">
        <v>80</v>
      </c>
      <c r="B10" t="s">
        <v>81</v>
      </c>
      <c r="C10" t="s">
        <v>82</v>
      </c>
      <c r="D10" s="2">
        <v>10</v>
      </c>
      <c r="E10" s="2">
        <v>5</v>
      </c>
      <c r="F10" s="2">
        <v>20</v>
      </c>
      <c r="G10" s="5">
        <v>8.5878594112554299E-4</v>
      </c>
      <c r="H10" s="5">
        <v>9.4153605339474E-4</v>
      </c>
      <c r="I10" s="4">
        <f>MIN(G10,H10)</f>
        <v>8.5878594112554299E-4</v>
      </c>
      <c r="J10" s="2">
        <f t="shared" si="3"/>
        <v>7</v>
      </c>
      <c r="K10" s="2">
        <f t="shared" si="4"/>
        <v>53</v>
      </c>
      <c r="L10" s="2">
        <f t="shared" si="5"/>
        <v>88</v>
      </c>
      <c r="M10" t="s">
        <v>83</v>
      </c>
      <c r="N10">
        <v>10</v>
      </c>
      <c r="O10">
        <v>15</v>
      </c>
      <c r="P10">
        <v>15</v>
      </c>
      <c r="Q10">
        <v>20</v>
      </c>
      <c r="R10">
        <v>15</v>
      </c>
      <c r="S10">
        <v>15</v>
      </c>
      <c r="T10">
        <f t="shared" si="10"/>
        <v>90</v>
      </c>
      <c r="U10" t="s">
        <v>84</v>
      </c>
      <c r="V10">
        <v>10</v>
      </c>
      <c r="W10">
        <v>8</v>
      </c>
      <c r="X10">
        <v>9</v>
      </c>
      <c r="Y10">
        <v>0</v>
      </c>
      <c r="Z10">
        <v>18</v>
      </c>
      <c r="AA10">
        <v>10</v>
      </c>
      <c r="AB10" s="5">
        <v>0.84899999999999998</v>
      </c>
      <c r="AC10" s="5">
        <v>0.96433336000000003</v>
      </c>
      <c r="AD10" s="5">
        <v>0.98699999999999999</v>
      </c>
      <c r="AE10">
        <f t="shared" si="6"/>
        <v>2.8003333600000002</v>
      </c>
      <c r="AF10">
        <f t="shared" si="7"/>
        <v>9</v>
      </c>
      <c r="AG10">
        <f t="shared" si="2"/>
        <v>23</v>
      </c>
      <c r="AH10">
        <f t="shared" si="8"/>
        <v>78</v>
      </c>
      <c r="AI10" t="s">
        <v>85</v>
      </c>
    </row>
    <row r="11" spans="1:59">
      <c r="A11" t="s">
        <v>86</v>
      </c>
      <c r="B11" t="s">
        <v>87</v>
      </c>
      <c r="C11" t="s">
        <v>88</v>
      </c>
      <c r="D11" s="2">
        <v>10</v>
      </c>
      <c r="E11" s="2">
        <v>8</v>
      </c>
      <c r="F11" s="2">
        <v>20</v>
      </c>
      <c r="G11" s="8">
        <v>8.61848897240859E-4</v>
      </c>
      <c r="I11" s="4">
        <f>MIN(G11,H11)</f>
        <v>8.61848897240859E-4</v>
      </c>
      <c r="J11" s="2">
        <f t="shared" si="3"/>
        <v>10</v>
      </c>
      <c r="K11" s="2">
        <f t="shared" si="4"/>
        <v>50</v>
      </c>
      <c r="L11" s="2">
        <f t="shared" si="5"/>
        <v>88</v>
      </c>
      <c r="M11" t="s">
        <v>89</v>
      </c>
      <c r="N11">
        <v>15</v>
      </c>
      <c r="O11">
        <v>15</v>
      </c>
      <c r="P11">
        <v>15</v>
      </c>
      <c r="Q11">
        <v>10</v>
      </c>
      <c r="R11">
        <v>15</v>
      </c>
      <c r="S11">
        <v>10</v>
      </c>
      <c r="T11">
        <f t="shared" si="10"/>
        <v>80</v>
      </c>
      <c r="U11" t="s">
        <v>90</v>
      </c>
      <c r="V11">
        <v>10</v>
      </c>
      <c r="W11">
        <v>10</v>
      </c>
      <c r="X11">
        <v>10</v>
      </c>
      <c r="Y11">
        <v>10</v>
      </c>
      <c r="Z11">
        <v>20</v>
      </c>
      <c r="AA11">
        <v>10</v>
      </c>
      <c r="AB11" s="5">
        <v>0.74050000000000005</v>
      </c>
      <c r="AC11" s="5">
        <v>0.91183334999999999</v>
      </c>
      <c r="AD11" s="5">
        <v>0.94833330000000005</v>
      </c>
      <c r="AE11">
        <f t="shared" si="6"/>
        <v>2.60066665</v>
      </c>
      <c r="AF11">
        <f t="shared" si="7"/>
        <v>20</v>
      </c>
      <c r="AG11">
        <f t="shared" si="2"/>
        <v>11</v>
      </c>
      <c r="AH11">
        <f t="shared" si="8"/>
        <v>81</v>
      </c>
    </row>
    <row r="12" spans="1:59">
      <c r="A12" t="s">
        <v>91</v>
      </c>
      <c r="B12" t="s">
        <v>92</v>
      </c>
      <c r="C12" t="s">
        <v>93</v>
      </c>
      <c r="D12" s="2">
        <v>10</v>
      </c>
      <c r="E12" s="2">
        <v>9</v>
      </c>
      <c r="F12" s="2">
        <v>20</v>
      </c>
      <c r="G12" s="5">
        <v>8.5173966338224899E-4</v>
      </c>
      <c r="H12" s="8">
        <v>8.5887303878352697E-4</v>
      </c>
      <c r="I12" s="4">
        <f>MIN(G12,H12)</f>
        <v>8.5173966338224899E-4</v>
      </c>
      <c r="J12" s="2">
        <f t="shared" si="3"/>
        <v>5</v>
      </c>
      <c r="K12" s="2">
        <f t="shared" si="4"/>
        <v>55</v>
      </c>
      <c r="L12" s="2">
        <f t="shared" si="5"/>
        <v>94</v>
      </c>
      <c r="M12" t="s">
        <v>94</v>
      </c>
      <c r="N12">
        <v>15</v>
      </c>
      <c r="O12">
        <v>15</v>
      </c>
      <c r="P12">
        <v>15</v>
      </c>
      <c r="Q12">
        <v>20</v>
      </c>
      <c r="R12">
        <v>15</v>
      </c>
      <c r="S12">
        <v>15</v>
      </c>
      <c r="T12">
        <f t="shared" ref="T12:T14" si="11">SUM(N12:S12)</f>
        <v>95</v>
      </c>
      <c r="U12" t="s">
        <v>95</v>
      </c>
      <c r="V12">
        <v>10</v>
      </c>
      <c r="W12">
        <v>10</v>
      </c>
      <c r="X12">
        <v>10</v>
      </c>
      <c r="Y12">
        <v>10</v>
      </c>
      <c r="Z12">
        <v>18</v>
      </c>
      <c r="AA12">
        <v>10</v>
      </c>
      <c r="AB12" s="11">
        <v>0.92316670000000001</v>
      </c>
      <c r="AC12" s="11">
        <v>0.97599999999999998</v>
      </c>
      <c r="AD12" s="11">
        <v>0.98766666999999997</v>
      </c>
      <c r="AE12">
        <f t="shared" si="6"/>
        <v>2.8868333699999997</v>
      </c>
      <c r="AF12">
        <f t="shared" si="7"/>
        <v>2</v>
      </c>
      <c r="AG12">
        <f t="shared" si="2"/>
        <v>29</v>
      </c>
      <c r="AH12">
        <f t="shared" si="8"/>
        <v>97</v>
      </c>
      <c r="AI12" t="s">
        <v>63</v>
      </c>
    </row>
    <row r="13" spans="1:59">
      <c r="A13" t="s">
        <v>96</v>
      </c>
      <c r="B13" t="s">
        <v>97</v>
      </c>
      <c r="C13" t="s">
        <v>98</v>
      </c>
      <c r="D13" s="2">
        <v>0</v>
      </c>
      <c r="E13" s="2">
        <v>10</v>
      </c>
      <c r="F13" s="2">
        <v>20</v>
      </c>
      <c r="G13" s="5">
        <v>4.60367531951882E-3</v>
      </c>
      <c r="H13" s="6">
        <v>1.4292312626704301E-3</v>
      </c>
      <c r="I13" s="4">
        <f>MIN(G13,H13)</f>
        <v>1.4292312626704301E-3</v>
      </c>
      <c r="J13" s="2">
        <f t="shared" si="3"/>
        <v>21</v>
      </c>
      <c r="K13" s="2">
        <f t="shared" si="4"/>
        <v>39</v>
      </c>
      <c r="L13" s="2">
        <f t="shared" si="5"/>
        <v>69</v>
      </c>
      <c r="N13">
        <v>15</v>
      </c>
      <c r="O13">
        <v>15</v>
      </c>
      <c r="P13">
        <v>10</v>
      </c>
      <c r="Q13">
        <v>20</v>
      </c>
      <c r="R13">
        <v>15</v>
      </c>
      <c r="S13">
        <v>10</v>
      </c>
      <c r="T13">
        <f t="shared" si="11"/>
        <v>85</v>
      </c>
      <c r="U13" t="s">
        <v>58</v>
      </c>
      <c r="V13">
        <v>10</v>
      </c>
      <c r="W13">
        <v>10</v>
      </c>
      <c r="X13">
        <v>10</v>
      </c>
      <c r="Y13">
        <v>10</v>
      </c>
      <c r="Z13">
        <v>20</v>
      </c>
      <c r="AA13">
        <v>10</v>
      </c>
      <c r="AB13" s="5">
        <v>0.72433334999999999</v>
      </c>
      <c r="AC13" s="5">
        <v>0.91266670000000005</v>
      </c>
      <c r="AD13" s="5">
        <v>0.95350000000000001</v>
      </c>
      <c r="AE13">
        <f t="shared" si="6"/>
        <v>2.5905000500000002</v>
      </c>
      <c r="AF13">
        <f t="shared" si="7"/>
        <v>21</v>
      </c>
      <c r="AG13">
        <f t="shared" si="2"/>
        <v>10</v>
      </c>
      <c r="AH13">
        <f t="shared" si="8"/>
        <v>80</v>
      </c>
    </row>
    <row r="14" spans="1:59">
      <c r="A14" t="s">
        <v>99</v>
      </c>
      <c r="B14" t="s">
        <v>100</v>
      </c>
      <c r="C14" t="s">
        <v>101</v>
      </c>
      <c r="D14" s="2">
        <v>10</v>
      </c>
      <c r="E14" s="2">
        <v>5</v>
      </c>
      <c r="F14" s="2">
        <v>20</v>
      </c>
      <c r="G14" s="5">
        <v>8.5878594112554299E-4</v>
      </c>
      <c r="H14" s="5">
        <v>1.26884323010925E-3</v>
      </c>
      <c r="I14" s="4">
        <f t="shared" ref="I13:I27" si="12">MIN(G14,H14)</f>
        <v>8.5878594112554299E-4</v>
      </c>
      <c r="J14" s="2">
        <f t="shared" si="3"/>
        <v>7</v>
      </c>
      <c r="K14" s="2">
        <f t="shared" si="4"/>
        <v>53</v>
      </c>
      <c r="L14" s="2">
        <f t="shared" si="5"/>
        <v>88</v>
      </c>
      <c r="M14" s="10" t="s">
        <v>102</v>
      </c>
      <c r="N14">
        <v>15</v>
      </c>
      <c r="O14">
        <v>15</v>
      </c>
      <c r="P14">
        <v>15</v>
      </c>
      <c r="Q14">
        <v>20</v>
      </c>
      <c r="R14">
        <v>15</v>
      </c>
      <c r="S14">
        <v>20</v>
      </c>
      <c r="T14">
        <f t="shared" si="11"/>
        <v>100</v>
      </c>
      <c r="V14">
        <v>10</v>
      </c>
      <c r="W14">
        <v>10</v>
      </c>
      <c r="X14">
        <v>10</v>
      </c>
      <c r="Y14">
        <v>10</v>
      </c>
      <c r="Z14">
        <v>18</v>
      </c>
      <c r="AA14">
        <v>10</v>
      </c>
      <c r="AB14" s="11">
        <v>0.871</v>
      </c>
      <c r="AC14" s="11">
        <v>0.96799999999999997</v>
      </c>
      <c r="AD14" s="11">
        <v>0.98750000000000004</v>
      </c>
      <c r="AE14">
        <f t="shared" si="6"/>
        <v>2.8265000000000002</v>
      </c>
      <c r="AF14">
        <f t="shared" si="7"/>
        <v>8</v>
      </c>
      <c r="AG14">
        <f t="shared" si="2"/>
        <v>25</v>
      </c>
      <c r="AH14">
        <f t="shared" si="8"/>
        <v>93</v>
      </c>
      <c r="AI14" t="s">
        <v>63</v>
      </c>
    </row>
    <row r="15" spans="1:59">
      <c r="A15" t="s">
        <v>103</v>
      </c>
      <c r="B15" t="s">
        <v>104</v>
      </c>
      <c r="C15" t="s">
        <v>105</v>
      </c>
      <c r="D15" s="2">
        <v>10</v>
      </c>
      <c r="E15" s="2">
        <v>8</v>
      </c>
      <c r="F15" s="2">
        <v>20</v>
      </c>
      <c r="G15" s="8">
        <v>8.4960026412829296E-4</v>
      </c>
      <c r="H15" s="5">
        <v>9.1948595745666598E-4</v>
      </c>
      <c r="I15" s="4">
        <f t="shared" si="12"/>
        <v>8.4960026412829296E-4</v>
      </c>
      <c r="J15" s="2">
        <f t="shared" si="3"/>
        <v>1</v>
      </c>
      <c r="K15" s="2">
        <f t="shared" si="4"/>
        <v>59</v>
      </c>
      <c r="L15" s="2">
        <f t="shared" si="5"/>
        <v>97</v>
      </c>
      <c r="M15" t="s">
        <v>106</v>
      </c>
      <c r="N15">
        <v>15</v>
      </c>
      <c r="O15">
        <v>15</v>
      </c>
      <c r="P15">
        <v>15</v>
      </c>
      <c r="Q15">
        <v>20</v>
      </c>
      <c r="R15">
        <v>15</v>
      </c>
      <c r="S15">
        <v>20</v>
      </c>
      <c r="T15">
        <f t="shared" ref="T15" si="13">SUM(N15:S15)</f>
        <v>100</v>
      </c>
      <c r="V15">
        <v>10</v>
      </c>
      <c r="W15">
        <v>10</v>
      </c>
      <c r="X15">
        <v>10</v>
      </c>
      <c r="Y15">
        <v>10</v>
      </c>
      <c r="Z15">
        <v>20</v>
      </c>
      <c r="AA15">
        <v>10</v>
      </c>
      <c r="AB15" s="5">
        <v>0.89500000000000002</v>
      </c>
      <c r="AC15" s="5">
        <v>0.97633329999999996</v>
      </c>
      <c r="AD15" s="5">
        <v>0.98866664999999998</v>
      </c>
      <c r="AE15">
        <f t="shared" si="6"/>
        <v>2.8599999499999997</v>
      </c>
      <c r="AF15">
        <f t="shared" si="7"/>
        <v>4</v>
      </c>
      <c r="AG15">
        <f t="shared" si="2"/>
        <v>27</v>
      </c>
      <c r="AH15">
        <f t="shared" si="8"/>
        <v>97</v>
      </c>
    </row>
    <row r="16" spans="1:59">
      <c r="A16" t="s">
        <v>107</v>
      </c>
      <c r="B16" t="s">
        <v>108</v>
      </c>
      <c r="C16" t="s">
        <v>109</v>
      </c>
      <c r="G16" s="6">
        <v>1</v>
      </c>
      <c r="H16" s="6">
        <v>1</v>
      </c>
      <c r="I16" s="4">
        <f t="shared" si="12"/>
        <v>1</v>
      </c>
      <c r="J16" s="2">
        <f t="shared" si="3"/>
        <v>24</v>
      </c>
      <c r="K16" s="2">
        <f t="shared" si="4"/>
        <v>0</v>
      </c>
      <c r="L16" s="2">
        <f t="shared" si="5"/>
        <v>0</v>
      </c>
      <c r="AE16">
        <v>0</v>
      </c>
      <c r="AF16">
        <f t="shared" si="7"/>
        <v>24</v>
      </c>
      <c r="AG16">
        <f t="shared" si="2"/>
        <v>0</v>
      </c>
      <c r="AH16">
        <f t="shared" si="8"/>
        <v>0</v>
      </c>
    </row>
    <row r="17" spans="1:35">
      <c r="A17" t="s">
        <v>110</v>
      </c>
      <c r="B17" t="s">
        <v>111</v>
      </c>
      <c r="C17" t="s">
        <v>112</v>
      </c>
      <c r="D17" s="2">
        <v>10</v>
      </c>
      <c r="E17" s="2">
        <v>10</v>
      </c>
      <c r="F17" s="2">
        <v>20</v>
      </c>
      <c r="G17" s="8">
        <v>8.5076117483216102E-4</v>
      </c>
      <c r="H17" s="8">
        <v>1.2196571152215301E-3</v>
      </c>
      <c r="I17" s="4">
        <f t="shared" si="12"/>
        <v>8.5076117483216102E-4</v>
      </c>
      <c r="J17" s="2">
        <f t="shared" si="3"/>
        <v>3</v>
      </c>
      <c r="K17" s="2">
        <f t="shared" si="4"/>
        <v>57</v>
      </c>
      <c r="L17" s="2">
        <f t="shared" si="5"/>
        <v>97</v>
      </c>
      <c r="N17">
        <v>15</v>
      </c>
      <c r="O17">
        <v>15</v>
      </c>
      <c r="P17">
        <v>10</v>
      </c>
      <c r="Q17">
        <v>20</v>
      </c>
      <c r="R17">
        <v>15</v>
      </c>
      <c r="S17">
        <v>10</v>
      </c>
      <c r="T17">
        <f t="shared" ref="T17:T21" si="14">SUM(N17:S17)</f>
        <v>85</v>
      </c>
      <c r="U17" t="s">
        <v>58</v>
      </c>
      <c r="V17">
        <v>10</v>
      </c>
      <c r="W17">
        <v>10</v>
      </c>
      <c r="X17">
        <v>10</v>
      </c>
      <c r="Y17">
        <v>10</v>
      </c>
      <c r="Z17">
        <v>20</v>
      </c>
      <c r="AA17">
        <v>10</v>
      </c>
      <c r="AB17" s="5">
        <v>0.76649999999999996</v>
      </c>
      <c r="AC17" s="5">
        <v>0.92266667000000002</v>
      </c>
      <c r="AD17" s="5">
        <v>0.96450000000000002</v>
      </c>
      <c r="AE17">
        <f t="shared" si="6"/>
        <v>2.6536666700000002</v>
      </c>
      <c r="AF17">
        <f t="shared" si="7"/>
        <v>19</v>
      </c>
      <c r="AG17">
        <f t="shared" si="2"/>
        <v>14</v>
      </c>
      <c r="AH17">
        <f t="shared" si="8"/>
        <v>84</v>
      </c>
    </row>
    <row r="18" spans="1:35">
      <c r="A18" t="s">
        <v>113</v>
      </c>
      <c r="B18" t="s">
        <v>114</v>
      </c>
      <c r="C18" t="s">
        <v>115</v>
      </c>
      <c r="D18" s="2">
        <v>10</v>
      </c>
      <c r="E18" s="2">
        <v>10</v>
      </c>
      <c r="F18" s="2">
        <v>20</v>
      </c>
      <c r="G18" s="8">
        <v>8.5884292053872095E-4</v>
      </c>
      <c r="H18" s="8">
        <v>9.37401237197355E-4</v>
      </c>
      <c r="I18" s="4">
        <f t="shared" si="12"/>
        <v>8.5884292053872095E-4</v>
      </c>
      <c r="J18" s="2">
        <f t="shared" si="3"/>
        <v>9</v>
      </c>
      <c r="K18" s="2">
        <f t="shared" si="4"/>
        <v>51</v>
      </c>
      <c r="L18" s="2">
        <f t="shared" si="5"/>
        <v>91</v>
      </c>
      <c r="N18">
        <v>15</v>
      </c>
      <c r="O18">
        <v>15</v>
      </c>
      <c r="P18">
        <v>15</v>
      </c>
      <c r="Q18">
        <v>20</v>
      </c>
      <c r="R18">
        <v>15</v>
      </c>
      <c r="S18">
        <v>15</v>
      </c>
      <c r="T18">
        <f t="shared" si="14"/>
        <v>95</v>
      </c>
      <c r="U18" t="s">
        <v>116</v>
      </c>
      <c r="V18">
        <v>10</v>
      </c>
      <c r="W18">
        <v>10</v>
      </c>
      <c r="X18">
        <v>10</v>
      </c>
      <c r="Y18">
        <v>10</v>
      </c>
      <c r="Z18">
        <v>18</v>
      </c>
      <c r="AA18">
        <v>10</v>
      </c>
      <c r="AB18" s="11">
        <v>0.88700000000000001</v>
      </c>
      <c r="AC18" s="11">
        <v>0.96933334999999998</v>
      </c>
      <c r="AD18" s="11">
        <v>0.98633329999999997</v>
      </c>
      <c r="AE18">
        <f t="shared" si="6"/>
        <v>2.84266665</v>
      </c>
      <c r="AF18">
        <f t="shared" si="7"/>
        <v>7</v>
      </c>
      <c r="AG18">
        <f t="shared" si="2"/>
        <v>26</v>
      </c>
      <c r="AH18">
        <f t="shared" si="8"/>
        <v>94</v>
      </c>
      <c r="AI18" t="s">
        <v>63</v>
      </c>
    </row>
    <row r="19" spans="1:35">
      <c r="A19" t="s">
        <v>117</v>
      </c>
      <c r="B19" t="s">
        <v>118</v>
      </c>
      <c r="C19" t="s">
        <v>119</v>
      </c>
      <c r="D19" s="2">
        <v>10</v>
      </c>
      <c r="E19" s="2">
        <v>8</v>
      </c>
      <c r="F19" s="2">
        <v>20</v>
      </c>
      <c r="G19" s="8">
        <v>1.6118911744753999E-3</v>
      </c>
      <c r="H19" s="5">
        <v>2.81458140477209E-3</v>
      </c>
      <c r="I19" s="4">
        <f t="shared" si="12"/>
        <v>1.6118911744753999E-3</v>
      </c>
      <c r="J19" s="2">
        <f t="shared" si="3"/>
        <v>22</v>
      </c>
      <c r="K19" s="2">
        <f t="shared" si="4"/>
        <v>38</v>
      </c>
      <c r="L19" s="2">
        <f t="shared" si="5"/>
        <v>76</v>
      </c>
      <c r="M19" t="s">
        <v>120</v>
      </c>
      <c r="N19">
        <v>15</v>
      </c>
      <c r="O19">
        <v>15</v>
      </c>
      <c r="P19">
        <v>10</v>
      </c>
      <c r="Q19">
        <v>20</v>
      </c>
      <c r="R19">
        <v>15</v>
      </c>
      <c r="S19">
        <v>10</v>
      </c>
      <c r="T19">
        <f t="shared" si="14"/>
        <v>85</v>
      </c>
      <c r="U19" t="s">
        <v>58</v>
      </c>
      <c r="V19">
        <v>10</v>
      </c>
      <c r="W19">
        <v>10</v>
      </c>
      <c r="X19">
        <v>10</v>
      </c>
      <c r="Y19">
        <v>10</v>
      </c>
      <c r="Z19">
        <v>20</v>
      </c>
      <c r="AA19">
        <v>10</v>
      </c>
      <c r="AB19" s="5">
        <v>0.8348333</v>
      </c>
      <c r="AC19" s="5">
        <v>0.95633334000000003</v>
      </c>
      <c r="AD19" s="5">
        <v>0.97983330000000002</v>
      </c>
      <c r="AE19">
        <f t="shared" si="6"/>
        <v>2.7709999400000003</v>
      </c>
      <c r="AF19">
        <f t="shared" si="7"/>
        <v>12</v>
      </c>
      <c r="AG19">
        <f t="shared" si="2"/>
        <v>22</v>
      </c>
      <c r="AH19">
        <f t="shared" si="8"/>
        <v>92</v>
      </c>
    </row>
    <row r="20" spans="1:35">
      <c r="A20" t="s">
        <v>121</v>
      </c>
      <c r="B20" t="s">
        <v>122</v>
      </c>
      <c r="C20" t="s">
        <v>123</v>
      </c>
      <c r="D20" s="2">
        <v>5</v>
      </c>
      <c r="E20" s="2">
        <v>5</v>
      </c>
      <c r="F20" s="2">
        <v>20</v>
      </c>
      <c r="G20" s="5">
        <v>1.0697228713051599E-3</v>
      </c>
      <c r="H20" s="5">
        <v>1.0403374085202401E-3</v>
      </c>
      <c r="I20" s="4">
        <f t="shared" si="12"/>
        <v>1.0403374085202401E-3</v>
      </c>
      <c r="J20" s="2">
        <f t="shared" si="3"/>
        <v>17</v>
      </c>
      <c r="K20" s="2">
        <f t="shared" si="4"/>
        <v>43</v>
      </c>
      <c r="L20" s="2">
        <f t="shared" si="5"/>
        <v>73</v>
      </c>
      <c r="M20" t="s">
        <v>124</v>
      </c>
      <c r="N20">
        <v>15</v>
      </c>
      <c r="O20">
        <v>15</v>
      </c>
      <c r="P20">
        <v>15</v>
      </c>
      <c r="Q20">
        <v>20</v>
      </c>
      <c r="R20">
        <v>15</v>
      </c>
      <c r="S20">
        <v>20</v>
      </c>
      <c r="T20">
        <f t="shared" si="14"/>
        <v>100</v>
      </c>
      <c r="V20">
        <v>10</v>
      </c>
      <c r="W20">
        <v>10</v>
      </c>
      <c r="X20">
        <v>10</v>
      </c>
      <c r="Y20">
        <v>10</v>
      </c>
      <c r="Z20">
        <v>18</v>
      </c>
      <c r="AA20">
        <v>10</v>
      </c>
      <c r="AB20" s="5">
        <v>0.89</v>
      </c>
      <c r="AC20" s="5">
        <v>0.97533333</v>
      </c>
      <c r="AD20" s="5">
        <v>0.98966664000000004</v>
      </c>
      <c r="AE20">
        <f t="shared" si="6"/>
        <v>2.8549999699999997</v>
      </c>
      <c r="AF20">
        <f t="shared" si="7"/>
        <v>5</v>
      </c>
      <c r="AG20">
        <f t="shared" si="2"/>
        <v>27</v>
      </c>
      <c r="AH20">
        <f t="shared" si="8"/>
        <v>95</v>
      </c>
      <c r="AI20" t="s">
        <v>63</v>
      </c>
    </row>
    <row r="21" spans="1:35">
      <c r="A21" t="s">
        <v>125</v>
      </c>
      <c r="B21" t="s">
        <v>126</v>
      </c>
      <c r="C21" t="s">
        <v>127</v>
      </c>
      <c r="D21" s="2">
        <v>10</v>
      </c>
      <c r="E21" s="2">
        <v>8</v>
      </c>
      <c r="F21" s="2">
        <v>20</v>
      </c>
      <c r="G21" s="5">
        <v>1.02756401208031E-3</v>
      </c>
      <c r="I21" s="4">
        <f t="shared" si="12"/>
        <v>1.02756401208031E-3</v>
      </c>
      <c r="J21" s="2">
        <f t="shared" si="3"/>
        <v>13</v>
      </c>
      <c r="K21" s="2">
        <f t="shared" si="4"/>
        <v>47</v>
      </c>
      <c r="L21" s="2">
        <f t="shared" si="5"/>
        <v>85</v>
      </c>
      <c r="M21" t="s">
        <v>128</v>
      </c>
      <c r="N21">
        <v>15</v>
      </c>
      <c r="O21">
        <v>15</v>
      </c>
      <c r="P21">
        <v>15</v>
      </c>
      <c r="Q21">
        <v>20</v>
      </c>
      <c r="R21">
        <v>15</v>
      </c>
      <c r="S21">
        <v>20</v>
      </c>
      <c r="T21">
        <f t="shared" si="14"/>
        <v>100</v>
      </c>
      <c r="V21">
        <v>10</v>
      </c>
      <c r="W21">
        <v>10</v>
      </c>
      <c r="X21">
        <v>10</v>
      </c>
      <c r="Y21">
        <v>10</v>
      </c>
      <c r="Z21">
        <v>15</v>
      </c>
      <c r="AA21">
        <v>10</v>
      </c>
      <c r="AB21" s="5">
        <v>0.83266669999999998</v>
      </c>
      <c r="AC21" s="5">
        <v>0.95099999999999996</v>
      </c>
      <c r="AD21" s="5">
        <v>0.97583335999999998</v>
      </c>
      <c r="AE21">
        <f t="shared" si="6"/>
        <v>2.7595000599999997</v>
      </c>
      <c r="AF21">
        <f t="shared" si="7"/>
        <v>13</v>
      </c>
      <c r="AG21">
        <f t="shared" si="2"/>
        <v>21</v>
      </c>
      <c r="AH21">
        <f t="shared" si="8"/>
        <v>86</v>
      </c>
      <c r="AI21" t="s">
        <v>129</v>
      </c>
    </row>
    <row r="22" spans="1:35">
      <c r="A22" t="s">
        <v>130</v>
      </c>
      <c r="B22" t="s">
        <v>131</v>
      </c>
      <c r="C22" t="s">
        <v>132</v>
      </c>
      <c r="D22" s="2">
        <v>10</v>
      </c>
      <c r="E22" s="2">
        <v>10</v>
      </c>
      <c r="F22" s="2">
        <v>20</v>
      </c>
      <c r="G22" s="5">
        <v>1.15667836795165E-3</v>
      </c>
      <c r="H22" s="5">
        <v>1.0350807750980501E-3</v>
      </c>
      <c r="I22" s="4">
        <f t="shared" si="12"/>
        <v>1.0350807750980501E-3</v>
      </c>
      <c r="J22" s="2">
        <f t="shared" si="3"/>
        <v>14</v>
      </c>
      <c r="K22" s="2">
        <f t="shared" si="4"/>
        <v>46</v>
      </c>
      <c r="L22" s="2">
        <f t="shared" si="5"/>
        <v>86</v>
      </c>
      <c r="N22">
        <v>15</v>
      </c>
      <c r="O22">
        <v>15</v>
      </c>
      <c r="P22">
        <v>10</v>
      </c>
      <c r="Q22">
        <v>20</v>
      </c>
      <c r="R22">
        <v>15</v>
      </c>
      <c r="S22">
        <v>10</v>
      </c>
      <c r="T22">
        <f t="shared" ref="T22:T24" si="15">SUM(N22:S22)</f>
        <v>85</v>
      </c>
      <c r="U22" t="s">
        <v>133</v>
      </c>
      <c r="V22">
        <v>10</v>
      </c>
      <c r="W22">
        <v>10</v>
      </c>
      <c r="X22">
        <v>10</v>
      </c>
      <c r="Y22">
        <v>10</v>
      </c>
      <c r="Z22">
        <v>18</v>
      </c>
      <c r="AA22">
        <v>10</v>
      </c>
      <c r="AB22" s="5">
        <v>0.82516663999999995</v>
      </c>
      <c r="AC22" s="5">
        <v>0.95199999999999996</v>
      </c>
      <c r="AD22" s="5">
        <v>0.97799999999999998</v>
      </c>
      <c r="AE22">
        <f t="shared" si="6"/>
        <v>2.7551666399999997</v>
      </c>
      <c r="AF22">
        <f t="shared" si="7"/>
        <v>15</v>
      </c>
      <c r="AG22">
        <f t="shared" si="2"/>
        <v>21</v>
      </c>
      <c r="AH22">
        <f t="shared" si="8"/>
        <v>89</v>
      </c>
      <c r="AI22" t="s">
        <v>63</v>
      </c>
    </row>
    <row r="23" spans="1:35">
      <c r="A23" t="s">
        <v>134</v>
      </c>
      <c r="B23" t="s">
        <v>135</v>
      </c>
      <c r="C23" t="s">
        <v>136</v>
      </c>
      <c r="D23" s="2">
        <v>10</v>
      </c>
      <c r="E23" s="2">
        <v>10</v>
      </c>
      <c r="F23" s="2">
        <v>20</v>
      </c>
      <c r="G23" s="5">
        <v>1.2678482703804401E-3</v>
      </c>
      <c r="H23" s="5">
        <v>9.3851199605465298E-4</v>
      </c>
      <c r="I23" s="4">
        <f t="shared" si="12"/>
        <v>9.3851199605465298E-4</v>
      </c>
      <c r="J23" s="2">
        <f t="shared" si="3"/>
        <v>12</v>
      </c>
      <c r="K23" s="2">
        <f t="shared" si="4"/>
        <v>48</v>
      </c>
      <c r="L23" s="2">
        <f t="shared" si="5"/>
        <v>88</v>
      </c>
      <c r="N23">
        <v>15</v>
      </c>
      <c r="O23">
        <v>15</v>
      </c>
      <c r="P23">
        <v>0</v>
      </c>
      <c r="Q23">
        <v>10</v>
      </c>
      <c r="R23">
        <v>5</v>
      </c>
      <c r="S23">
        <v>5</v>
      </c>
      <c r="T23">
        <f t="shared" si="15"/>
        <v>50</v>
      </c>
      <c r="U23" t="s">
        <v>137</v>
      </c>
      <c r="V23">
        <v>10</v>
      </c>
      <c r="W23">
        <v>10</v>
      </c>
      <c r="X23">
        <v>10</v>
      </c>
      <c r="Y23">
        <v>10</v>
      </c>
      <c r="Z23">
        <v>18</v>
      </c>
      <c r="AA23">
        <v>10</v>
      </c>
      <c r="AB23" s="5">
        <v>8.666666E-3</v>
      </c>
      <c r="AC23" s="5">
        <v>0.59950000000000003</v>
      </c>
      <c r="AD23" s="5">
        <v>0.72799999999999998</v>
      </c>
      <c r="AE23">
        <f t="shared" si="6"/>
        <v>1.336166666</v>
      </c>
      <c r="AF23">
        <f t="shared" si="7"/>
        <v>23</v>
      </c>
      <c r="AG23">
        <f t="shared" si="2"/>
        <v>5</v>
      </c>
      <c r="AH23">
        <f t="shared" si="8"/>
        <v>73</v>
      </c>
      <c r="AI23" t="s">
        <v>138</v>
      </c>
    </row>
    <row r="24" spans="1:35">
      <c r="A24" t="s">
        <v>139</v>
      </c>
      <c r="B24" t="s">
        <v>140</v>
      </c>
      <c r="C24" t="s">
        <v>141</v>
      </c>
      <c r="D24" s="2">
        <v>10</v>
      </c>
      <c r="E24" s="2">
        <v>10</v>
      </c>
      <c r="F24" s="2">
        <v>20</v>
      </c>
      <c r="G24" s="8">
        <v>8.5076117483216102E-4</v>
      </c>
      <c r="H24" s="8">
        <v>1.2251158768929299E-3</v>
      </c>
      <c r="I24" s="4">
        <f t="shared" si="12"/>
        <v>8.5076117483216102E-4</v>
      </c>
      <c r="J24" s="2">
        <f t="shared" si="3"/>
        <v>3</v>
      </c>
      <c r="K24" s="2">
        <f t="shared" si="4"/>
        <v>57</v>
      </c>
      <c r="L24" s="2">
        <f t="shared" si="5"/>
        <v>97</v>
      </c>
      <c r="N24">
        <v>15</v>
      </c>
      <c r="O24">
        <v>15</v>
      </c>
      <c r="P24">
        <v>10</v>
      </c>
      <c r="Q24">
        <v>20</v>
      </c>
      <c r="R24">
        <v>15</v>
      </c>
      <c r="S24">
        <v>10</v>
      </c>
      <c r="T24">
        <f t="shared" si="15"/>
        <v>85</v>
      </c>
      <c r="U24" t="s">
        <v>58</v>
      </c>
      <c r="V24">
        <v>10</v>
      </c>
      <c r="W24">
        <v>10</v>
      </c>
      <c r="X24">
        <v>10</v>
      </c>
      <c r="Y24">
        <v>10</v>
      </c>
      <c r="Z24">
        <v>20</v>
      </c>
      <c r="AA24">
        <v>10</v>
      </c>
      <c r="AB24" s="5">
        <v>0.82483333000000003</v>
      </c>
      <c r="AC24" s="5">
        <v>0.95199999999999996</v>
      </c>
      <c r="AD24" s="5">
        <v>0.97933334000000005</v>
      </c>
      <c r="AE24">
        <f t="shared" si="6"/>
        <v>2.7561666700000003</v>
      </c>
      <c r="AF24">
        <f t="shared" si="7"/>
        <v>14</v>
      </c>
      <c r="AG24">
        <f t="shared" si="2"/>
        <v>21</v>
      </c>
      <c r="AH24">
        <f t="shared" si="8"/>
        <v>91</v>
      </c>
    </row>
    <row r="25" spans="1:35">
      <c r="A25" t="s">
        <v>142</v>
      </c>
      <c r="B25" t="s">
        <v>143</v>
      </c>
      <c r="C25" t="s">
        <v>144</v>
      </c>
      <c r="D25" s="2">
        <v>10</v>
      </c>
      <c r="E25" s="2">
        <v>10</v>
      </c>
      <c r="F25" s="2">
        <v>20</v>
      </c>
      <c r="G25" s="5">
        <v>1.0695483590572299E-3</v>
      </c>
      <c r="H25" s="5">
        <v>1.06762381230616E-3</v>
      </c>
      <c r="I25" s="4">
        <f t="shared" si="12"/>
        <v>1.06762381230616E-3</v>
      </c>
      <c r="J25" s="2">
        <f t="shared" si="3"/>
        <v>18</v>
      </c>
      <c r="K25" s="2">
        <f t="shared" si="4"/>
        <v>42</v>
      </c>
      <c r="L25" s="2">
        <f t="shared" si="5"/>
        <v>82</v>
      </c>
      <c r="N25">
        <v>15</v>
      </c>
      <c r="O25">
        <v>15</v>
      </c>
      <c r="P25">
        <v>10</v>
      </c>
      <c r="Q25">
        <v>20</v>
      </c>
      <c r="R25">
        <v>15</v>
      </c>
      <c r="S25">
        <v>10</v>
      </c>
      <c r="T25">
        <f t="shared" ref="T25" si="16">SUM(N25:S25)</f>
        <v>85</v>
      </c>
      <c r="U25" t="s">
        <v>58</v>
      </c>
      <c r="V25">
        <v>10</v>
      </c>
      <c r="W25">
        <v>10</v>
      </c>
      <c r="X25">
        <v>10</v>
      </c>
      <c r="Y25">
        <v>10</v>
      </c>
      <c r="Z25">
        <v>18</v>
      </c>
      <c r="AA25">
        <v>10</v>
      </c>
      <c r="AB25" s="5">
        <v>0.82566667000000005</v>
      </c>
      <c r="AC25" s="5">
        <v>0.95083329999999999</v>
      </c>
      <c r="AD25" s="5">
        <v>0.97783332999999995</v>
      </c>
      <c r="AE25">
        <f t="shared" si="6"/>
        <v>2.7543332999999999</v>
      </c>
      <c r="AF25">
        <f t="shared" si="7"/>
        <v>17</v>
      </c>
      <c r="AG25">
        <f t="shared" si="2"/>
        <v>21</v>
      </c>
      <c r="AH25">
        <f t="shared" si="8"/>
        <v>89</v>
      </c>
      <c r="AI25" t="s">
        <v>63</v>
      </c>
    </row>
    <row r="26" spans="1:35">
      <c r="A26" t="s">
        <v>145</v>
      </c>
      <c r="B26" t="s">
        <v>146</v>
      </c>
      <c r="C26" t="s">
        <v>147</v>
      </c>
      <c r="D26" s="2">
        <v>10</v>
      </c>
      <c r="E26" s="2">
        <v>10</v>
      </c>
      <c r="F26" s="2">
        <v>20</v>
      </c>
      <c r="G26" s="8">
        <v>1.0352365188710799E-3</v>
      </c>
      <c r="H26" s="8">
        <v>1.13812340869806E-3</v>
      </c>
      <c r="I26" s="4">
        <f t="shared" si="12"/>
        <v>1.0352365188710799E-3</v>
      </c>
      <c r="J26" s="2">
        <f t="shared" si="3"/>
        <v>15</v>
      </c>
      <c r="K26" s="2">
        <f t="shared" si="4"/>
        <v>45</v>
      </c>
      <c r="L26" s="2">
        <f t="shared" si="5"/>
        <v>85</v>
      </c>
      <c r="N26">
        <v>15</v>
      </c>
      <c r="O26">
        <v>15</v>
      </c>
      <c r="P26">
        <v>10</v>
      </c>
      <c r="Q26">
        <v>20</v>
      </c>
      <c r="R26">
        <v>5</v>
      </c>
      <c r="S26">
        <v>10</v>
      </c>
      <c r="T26">
        <f t="shared" ref="T26" si="17">SUM(N26:S26)</f>
        <v>75</v>
      </c>
      <c r="U26" t="s">
        <v>148</v>
      </c>
      <c r="V26">
        <v>10</v>
      </c>
      <c r="W26">
        <v>10</v>
      </c>
      <c r="X26">
        <v>10</v>
      </c>
      <c r="Y26">
        <v>10</v>
      </c>
      <c r="Z26">
        <v>18</v>
      </c>
      <c r="AA26">
        <v>10</v>
      </c>
      <c r="AB26" s="5">
        <v>0.82450000000000001</v>
      </c>
      <c r="AC26" s="5">
        <v>0.95166664999999995</v>
      </c>
      <c r="AD26" s="5">
        <v>0.97866666000000002</v>
      </c>
      <c r="AE26">
        <f t="shared" si="6"/>
        <v>2.75483331</v>
      </c>
      <c r="AF26">
        <f t="shared" si="7"/>
        <v>16</v>
      </c>
      <c r="AG26">
        <f t="shared" si="2"/>
        <v>21</v>
      </c>
      <c r="AH26">
        <f t="shared" si="8"/>
        <v>89</v>
      </c>
      <c r="AI26" t="s">
        <v>63</v>
      </c>
    </row>
    <row r="27" spans="1:35">
      <c r="A27" t="s">
        <v>149</v>
      </c>
      <c r="B27" t="s">
        <v>150</v>
      </c>
      <c r="C27" t="s">
        <v>151</v>
      </c>
      <c r="D27" s="2">
        <v>2</v>
      </c>
      <c r="E27" s="2">
        <v>2</v>
      </c>
      <c r="F27" s="2">
        <v>10</v>
      </c>
      <c r="G27" s="5">
        <v>1.0695483590572299E-3</v>
      </c>
      <c r="I27" s="4">
        <f t="shared" si="12"/>
        <v>1.0695483590572299E-3</v>
      </c>
      <c r="J27" s="2">
        <f t="shared" si="3"/>
        <v>19</v>
      </c>
      <c r="K27" s="2">
        <f t="shared" si="4"/>
        <v>41</v>
      </c>
      <c r="L27" s="2">
        <f t="shared" si="5"/>
        <v>55</v>
      </c>
      <c r="M27" t="s">
        <v>152</v>
      </c>
      <c r="T27" s="12">
        <v>0</v>
      </c>
      <c r="V27">
        <v>10</v>
      </c>
      <c r="W27">
        <v>10</v>
      </c>
      <c r="X27">
        <v>10</v>
      </c>
      <c r="Y27">
        <v>10</v>
      </c>
      <c r="Z27">
        <v>15</v>
      </c>
      <c r="AA27">
        <v>10</v>
      </c>
      <c r="AB27" s="5">
        <v>0.90383329999999995</v>
      </c>
      <c r="AC27" s="5">
        <v>0.9766667</v>
      </c>
      <c r="AD27" s="5">
        <v>0.99116665000000004</v>
      </c>
      <c r="AE27">
        <f t="shared" si="6"/>
        <v>2.8716666499999999</v>
      </c>
      <c r="AF27">
        <f t="shared" si="7"/>
        <v>3</v>
      </c>
      <c r="AG27">
        <f t="shared" si="2"/>
        <v>28</v>
      </c>
      <c r="AH27">
        <f t="shared" si="8"/>
        <v>93</v>
      </c>
      <c r="AI27" t="s">
        <v>129</v>
      </c>
    </row>
  </sheetData>
  <mergeCells count="5">
    <mergeCell ref="D1:M1"/>
    <mergeCell ref="N1:U1"/>
    <mergeCell ref="V1:AI1"/>
    <mergeCell ref="AJ1:AV1"/>
    <mergeCell ref="AW1:B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Walsh,John</cp:lastModifiedBy>
  <cp:revision/>
  <dcterms:created xsi:type="dcterms:W3CDTF">2022-09-27T18:21:29Z</dcterms:created>
  <dcterms:modified xsi:type="dcterms:W3CDTF">2022-09-27T18:21:29Z</dcterms:modified>
  <cp:category/>
  <cp:contentStatus/>
</cp:coreProperties>
</file>